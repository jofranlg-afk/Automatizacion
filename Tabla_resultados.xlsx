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3062058e9b1c346/Documentos/ING. MECANICA/8 SEMESTRE/AUTOMATIZACION/"/>
    </mc:Choice>
  </mc:AlternateContent>
  <xr:revisionPtr revIDLastSave="11" documentId="13_ncr:1_{72B9432F-01D9-44CB-87F0-3BBE1D50A82D}" xr6:coauthVersionLast="47" xr6:coauthVersionMax="47" xr10:uidLastSave="{EB79B303-9C7B-4343-B634-A8EDE9E99957}"/>
  <bookViews>
    <workbookView xWindow="-108" yWindow="-108" windowWidth="23256" windowHeight="12456" activeTab="1" xr2:uid="{A5D1BA85-F7CC-46C4-9E75-1DA5CF1C364C}"/>
  </bookViews>
  <sheets>
    <sheet name="Datos_Calibracion" sheetId="1" r:id="rId1"/>
    <sheet name="Datos_Histeresis" sheetId="2" r:id="rId2"/>
    <sheet name="Rubric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1" l="1"/>
  <c r="J3" i="1"/>
  <c r="J4" i="1"/>
  <c r="J5" i="1"/>
  <c r="J6" i="1"/>
  <c r="J7" i="1"/>
  <c r="J8" i="1"/>
  <c r="D3" i="2"/>
  <c r="D4" i="2"/>
  <c r="D5" i="2"/>
  <c r="D6" i="2"/>
  <c r="D7" i="2"/>
  <c r="D8" i="2"/>
  <c r="D9" i="2"/>
  <c r="I5" i="1"/>
  <c r="I4" i="1"/>
  <c r="I3" i="1"/>
  <c r="I6" i="1" l="1"/>
  <c r="I7" i="1"/>
  <c r="I8" i="1"/>
</calcChain>
</file>

<file path=xl/sharedStrings.xml><?xml version="1.0" encoding="utf-8"?>
<sst xmlns="http://schemas.openxmlformats.org/spreadsheetml/2006/main" count="44" uniqueCount="43">
  <si>
    <t>Peso Real (kg)</t>
  </si>
  <si>
    <t>Med. 1 (V)</t>
  </si>
  <si>
    <t>Med. 2 (V)</t>
  </si>
  <si>
    <t>Med. 3 (V)</t>
  </si>
  <si>
    <t>Med. 4 (V)</t>
  </si>
  <si>
    <t>Med. 5 (V)</t>
  </si>
  <si>
    <t>Promedio (V)</t>
  </si>
  <si>
    <t>Desv. Estándar (σ)</t>
  </si>
  <si>
    <t>Voltaje Ascenso (V)</t>
  </si>
  <si>
    <t>Voltaje Descenso (V)</t>
  </si>
  <si>
    <t>Diferencia (V)</t>
  </si>
  <si>
    <t>Criterio</t>
  </si>
  <si>
    <t>Excelente (5)</t>
  </si>
  <si>
    <t>Bueno (4)</t>
  </si>
  <si>
    <t>Regular (3)</t>
  </si>
  <si>
    <t>Deficiente (1-2)</t>
  </si>
  <si>
    <t>Conceptos claros, cálculos de ganancia correctos y diseño de circuito funcional.</t>
  </si>
  <si>
    <t>Conceptos claros, cálculos con errores menores, diseño lógico.</t>
  </si>
  <si>
    <t>Conceptos vagos, cálculos incompletos.</t>
  </si>
  <si>
    <t>No entregó o conceptos erróneos.</t>
  </si>
  <si>
    <t>Sigue normas, circuito funciona a la primera, datos ordenados en tablas.</t>
  </si>
  <si>
    <t>Sigue normas, circuito funciona tras ajustes, datos tomados.</t>
  </si>
  <si>
    <t>Alguna falta de seguridad, circuito con fallas, datos desordenados.</t>
  </si>
  <si>
    <t>No respeta normas, no logra el circuito, no toma datos.</t>
  </si>
  <si>
    <t>Tablas completas (1 y 2), unidades claras, 5 mediciones por punto.</t>
  </si>
  <si>
    <t>Tablas completas, unidades correctas, menos de 5 mediciones.</t>
  </si>
  <si>
    <t>Tablas incompletas o con errores de unidades.</t>
  </si>
  <si>
    <t>Datos insuficientes o sin sentido.</t>
  </si>
  <si>
    <t>Aplica mínimos cuadrados correctamente, calcula y explica todas las características (Sensibilidad, Exactitud, Precisión, Histéresis), gráficas correctas y bien interpretadas.</t>
  </si>
  <si>
    <t>Calcula la mayoría de características, gráficas correctas.</t>
  </si>
  <si>
    <t>Análisis superficial, faltan cálculos clave, gráficas incompletas.</t>
  </si>
  <si>
    <t>No realiza análisis o es incorrecto.</t>
  </si>
  <si>
    <t>Preguntas (10%)</t>
  </si>
  <si>
    <t>Respuestas profundas, vinculan teoría y práctica con ejemplos.</t>
  </si>
  <si>
    <t>Respuestas correctas pero básicas.</t>
  </si>
  <si>
    <t>Respuestas incompletas o sin relación clara.</t>
  </si>
  <si>
    <t>No responde.</t>
  </si>
  <si>
    <t>Pre-laboratorio (30%)</t>
  </si>
  <si>
    <t>Experimentar: Ejecución y Seguridad (30%)</t>
  </si>
  <si>
    <t>Calidad de Datos (15%)</t>
  </si>
  <si>
    <t>Análisis y Conceptos (15%)</t>
  </si>
  <si>
    <t>Masa Real (kg)2</t>
  </si>
  <si>
    <t>Masa digital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</si>
</sst>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"/>
  </numFmts>
  <fonts count="7" x14ac:knownFonts="1">
    <font>
      <sz val="11"/>
      <color theme="1"/>
      <name val="Calibri"/>
      <family val="2"/>
      <scheme val="minor"/>
    </font>
    <font>
      <sz val="9"/>
      <color rgb="FF0F1115"/>
      <name val="Segoe UI"/>
      <family val="2"/>
    </font>
    <font>
      <b/>
      <sz val="9"/>
      <color rgb="FF0F1115"/>
      <name val="Segoe UI"/>
      <family val="2"/>
    </font>
    <font>
      <sz val="9"/>
      <color rgb="FF0F1115"/>
      <name val="Segoe UI"/>
      <family val="2"/>
    </font>
    <font>
      <b/>
      <sz val="9"/>
      <color rgb="FF0F1115"/>
      <name val="Calibri"/>
      <family val="2"/>
      <scheme val="minor"/>
    </font>
    <font>
      <sz val="9"/>
      <color rgb="FF0F1115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1" fillId="2" borderId="3" xfId="0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2" fontId="1" fillId="2" borderId="2" xfId="0" applyNumberFormat="1" applyFont="1" applyFill="1" applyBorder="1" applyAlignment="1">
      <alignment horizontal="center" vertical="center" wrapText="1"/>
    </xf>
    <xf numFmtId="2" fontId="1" fillId="2" borderId="7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4" fontId="1" fillId="2" borderId="2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</cellXfs>
  <cellStyles count="1">
    <cellStyle name="Normal" xfId="0" builtinId="0"/>
  </cellStyles>
  <dxfs count="32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F1115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F1115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F1115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F1115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F1115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F1115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F1115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F1115"/>
        <name val="Segoe UI"/>
        <family val="2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F1115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F1115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F1115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F1115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F1115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F1115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F1115"/>
        <name val="Segoe UI"/>
        <family val="2"/>
        <scheme val="none"/>
      </font>
      <numFmt numFmtId="2" formatCode="0.00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F1115"/>
        <name val="Segoe UI"/>
        <family val="2"/>
        <scheme val="none"/>
      </font>
      <numFmt numFmtId="2" formatCode="0.00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F1115"/>
        <name val="Segoe UI"/>
        <family val="2"/>
        <scheme val="none"/>
      </font>
      <numFmt numFmtId="2" formatCode="0.00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F1115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F1115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F1115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F1115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F1115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F1115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F1115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F1115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1" defaultTableStyle="TableStyleMedium2" defaultPivotStyle="PivotStyleLight16">
    <tableStyle name="Estilo de tabla 1" pivot="0" count="1" xr9:uid="{827E9F2E-B863-41E0-8B64-E22569C13A94}">
      <tableStyleElement type="wholeTable" dxfId="3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Peso</a:t>
            </a:r>
            <a:r>
              <a:rPr lang="es-CO" baseline="0"/>
              <a:t> real (Kg) VS Promedio </a:t>
            </a:r>
            <a:r>
              <a:rPr lang="es-CO"/>
              <a:t>(V)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Datos_Calibracion!$I$1</c:f>
              <c:strCache>
                <c:ptCount val="1"/>
                <c:pt idx="0">
                  <c:v>Promedio (V)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Datos_Calibracion!$A$2:$A$8</c:f>
              <c:numCache>
                <c:formatCode>0.00</c:formatCode>
                <c:ptCount val="7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</c:numCache>
            </c:numRef>
          </c:xVal>
          <c:yVal>
            <c:numRef>
              <c:f>Datos_Calibracion!$I$2:$I$8</c:f>
              <c:numCache>
                <c:formatCode>General</c:formatCode>
                <c:ptCount val="7"/>
                <c:pt idx="0">
                  <c:v>0</c:v>
                </c:pt>
                <c:pt idx="1">
                  <c:v>0.49000000000000005</c:v>
                </c:pt>
                <c:pt idx="2">
                  <c:v>0.998</c:v>
                </c:pt>
                <c:pt idx="3">
                  <c:v>1.4899999999999998</c:v>
                </c:pt>
                <c:pt idx="4">
                  <c:v>2.0019999999999998</c:v>
                </c:pt>
                <c:pt idx="5">
                  <c:v>2.492</c:v>
                </c:pt>
                <c:pt idx="6">
                  <c:v>2.9880000000000004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F32-405B-99F9-ECCDAFAB34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1331392"/>
        <c:axId val="491340544"/>
      </c:scatterChart>
      <c:valAx>
        <c:axId val="491331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Peso Real (kg)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91340544"/>
        <c:crosses val="autoZero"/>
        <c:crossBetween val="midCat"/>
      </c:valAx>
      <c:valAx>
        <c:axId val="491340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Promedio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913313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Gráfica Histeresis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Ascenso (V)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Datos_Histeresis!$A$3:$A$9</c:f>
              <c:numCache>
                <c:formatCode>General</c:formatCode>
                <c:ptCount val="7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</c:numCache>
            </c:numRef>
          </c:xVal>
          <c:yVal>
            <c:numRef>
              <c:f>Datos_Histeresis!$B$3:$B$9</c:f>
              <c:numCache>
                <c:formatCode>General</c:formatCode>
                <c:ptCount val="7"/>
                <c:pt idx="0">
                  <c:v>0</c:v>
                </c:pt>
                <c:pt idx="1">
                  <c:v>0.49</c:v>
                </c:pt>
                <c:pt idx="2">
                  <c:v>0.99</c:v>
                </c:pt>
                <c:pt idx="3">
                  <c:v>1.49</c:v>
                </c:pt>
                <c:pt idx="4">
                  <c:v>2.02</c:v>
                </c:pt>
                <c:pt idx="5">
                  <c:v>2.4900000000000002</c:v>
                </c:pt>
                <c:pt idx="6">
                  <c:v>2.98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F712-4BDA-A98A-81F85904ECDD}"/>
            </c:ext>
          </c:extLst>
        </c:ser>
        <c:ser>
          <c:idx val="1"/>
          <c:order val="1"/>
          <c:tx>
            <c:v>Descenso (V)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Datos_Histeresis!$A$3:$A$9</c:f>
              <c:numCache>
                <c:formatCode>General</c:formatCode>
                <c:ptCount val="7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</c:numCache>
            </c:numRef>
          </c:xVal>
          <c:yVal>
            <c:numRef>
              <c:f>Datos_Histeresis!$C$3:$C$9</c:f>
              <c:numCache>
                <c:formatCode>General</c:formatCode>
                <c:ptCount val="7"/>
                <c:pt idx="0">
                  <c:v>0</c:v>
                </c:pt>
                <c:pt idx="1">
                  <c:v>0.48</c:v>
                </c:pt>
                <c:pt idx="2">
                  <c:v>1</c:v>
                </c:pt>
                <c:pt idx="3">
                  <c:v>1.49</c:v>
                </c:pt>
                <c:pt idx="4">
                  <c:v>1.98</c:v>
                </c:pt>
                <c:pt idx="5">
                  <c:v>2.48</c:v>
                </c:pt>
                <c:pt idx="6">
                  <c:v>2.98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F712-4BDA-A98A-81F85904EC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6212832"/>
        <c:axId val="566213248"/>
      </c:scatterChart>
      <c:valAx>
        <c:axId val="566212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Peso Real (kg)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66213248"/>
        <c:crosses val="autoZero"/>
        <c:crossBetween val="midCat"/>
      </c:valAx>
      <c:valAx>
        <c:axId val="566213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Voltaje Descenso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662128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342900</xdr:colOff>
      <xdr:row>11</xdr:row>
      <xdr:rowOff>14287</xdr:rowOff>
    </xdr:from>
    <xdr:to>
      <xdr:col>5</xdr:col>
      <xdr:colOff>561975</xdr:colOff>
      <xdr:row>25</xdr:row>
      <xdr:rowOff>90487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D57DA61-FFB0-4CDC-B454-0F5C2DF842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425645</xdr:colOff>
      <xdr:row>1</xdr:row>
      <xdr:rowOff>173230</xdr:rowOff>
    </xdr:from>
    <xdr:to>
      <xdr:col>15</xdr:col>
      <xdr:colOff>160500</xdr:colOff>
      <xdr:row>32</xdr:row>
      <xdr:rowOff>144830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76319B2-3557-4981-92F2-8556F3EF81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DA286B-E763-423A-8605-FD9D243F106F}" name="Tabla1" displayName="Tabla1" ref="A1:J8" totalsRowShown="0" headerRowDxfId="21" dataDxfId="19" headerRowBorderDxfId="20" tableBorderDxfId="18" totalsRowBorderDxfId="17">
  <autoFilter ref="A1:J8" xr:uid="{CFDA286B-E763-423A-8605-FD9D243F106F}"/>
  <tableColumns count="10">
    <tableColumn id="1" xr3:uid="{5FB1E296-B365-4E7E-857E-DD3AA8329957}" name="Peso Real (kg)" dataDxfId="16"/>
    <tableColumn id="10" xr3:uid="{8AC941F8-1533-42A7-93AA-524E60D17FE5}" name="Masa digital (kg)" dataDxfId="15"/>
    <tableColumn id="9" xr3:uid="{686E9E1E-F3BF-4CF9-8D0E-331AABA5AFB9}" name="Masa Real (kg)2" dataDxfId="14"/>
    <tableColumn id="2" xr3:uid="{142FFE56-68AF-4163-9043-376F0898316B}" name="Med. 1 (V)" dataDxfId="13"/>
    <tableColumn id="3" xr3:uid="{ED870E09-7F7C-4C4D-871B-494257159198}" name="Med. 2 (V)" dataDxfId="12"/>
    <tableColumn id="4" xr3:uid="{48670BEA-8B2D-4B6D-8D93-ABB357A23B68}" name="Med. 3 (V)" dataDxfId="11"/>
    <tableColumn id="5" xr3:uid="{5D778F08-CFCD-470F-A29D-C47AB23755A9}" name="Med. 4 (V)" dataDxfId="10"/>
    <tableColumn id="6" xr3:uid="{514F7599-9CC1-4343-AA99-B468DEE10FA9}" name="Med. 5 (V)" dataDxfId="9"/>
    <tableColumn id="7" xr3:uid="{522A5E7C-EB31-44C6-A4FD-1BBF5932B978}" name="Promedio (V)" dataDxfId="8"/>
    <tableColumn id="8" xr3:uid="{851027BE-DBF3-4DF1-93C1-C68D2937C05D}" name="Desv. Estándar (σ)" dataDxfId="7">
      <calculatedColumnFormula>_xlfn.STDEV.S(Tabla1[[#This Row],[Med. 1 (V)]:[Med. 5 (V)]])</calculatedColumnFormula>
    </tableColumn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7B947CB-BEEC-4028-B32C-BB3D5C4E7B93}" name="Tabla2" displayName="Tabla2" ref="A2:D9" totalsRowShown="0" headerRowDxfId="30" dataDxfId="28" headerRowBorderDxfId="29" tableBorderDxfId="27" totalsRowBorderDxfId="26">
  <autoFilter ref="A2:D9" xr:uid="{27B947CB-BEEC-4028-B32C-BB3D5C4E7B93}"/>
  <tableColumns count="4">
    <tableColumn id="1" xr3:uid="{7B32D7BA-6CF5-4454-8C80-2A7EF5B41457}" name="Peso Real (kg)" dataDxfId="25"/>
    <tableColumn id="2" xr3:uid="{E9E55015-63F9-43EA-ABE5-B02328EAA3B9}" name="Voltaje Ascenso (V)" dataDxfId="24"/>
    <tableColumn id="3" xr3:uid="{A5D38B06-915F-4F27-93AA-D06CA38B5AF3}" name="Voltaje Descenso (V)" dataDxfId="23"/>
    <tableColumn id="4" xr3:uid="{FC80844F-7A79-4BDC-A05D-F079D5FDC231}" name="Diferencia (V)" dataDxfId="22">
      <calculatedColumnFormula>Tabla2[[#This Row],[Voltaje Ascenso (V)]]-Tabla2[[#This Row],[Voltaje Descenso (V)]]</calculatedColumnFormula>
    </tableColumn>
  </tableColumns>
  <tableStyleInfo name="Estilo de tabla 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C1D9E02-5E5B-46AB-A795-C88FE619732D}" name="Tabla3" displayName="Tabla3" ref="A1:E6" totalsRowShown="0" headerRowDxfId="6" dataDxfId="5">
  <autoFilter ref="A1:E6" xr:uid="{EC1D9E02-5E5B-46AB-A795-C88FE619732D}"/>
  <tableColumns count="5">
    <tableColumn id="1" xr3:uid="{15EEE101-452A-413B-BF3B-14D73195EFE7}" name="Criterio" dataDxfId="4"/>
    <tableColumn id="2" xr3:uid="{BEEC7133-0BD4-4BD2-B53C-70BFDE481AC7}" name="Excelente (5)" dataDxfId="3"/>
    <tableColumn id="3" xr3:uid="{5FAB0250-B1DE-4E68-9843-D25E95D8B3E5}" name="Bueno (4)" dataDxfId="2"/>
    <tableColumn id="4" xr3:uid="{AD9B67C6-2E25-4E7B-B1C2-C2C813C86169}" name="Regular (3)" dataDxfId="1"/>
    <tableColumn id="5" xr3:uid="{E807C922-5E64-478A-9AF6-E30B35A4028E}" name="Deficiente (1-2)" dataDxfId="0"/>
  </tableColumns>
  <tableStyleInfo name="Estilo de tabla 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A8EA4-B024-4AEC-8935-BDF8BF1F77E9}">
  <dimension ref="A1:J8"/>
  <sheetViews>
    <sheetView topLeftCell="A3" workbookViewId="0">
      <selection sqref="A1:J8"/>
    </sheetView>
  </sheetViews>
  <sheetFormatPr baseColWidth="10" defaultRowHeight="14.4" x14ac:dyDescent="0.3"/>
  <cols>
    <col min="1" max="3" width="14" customWidth="1"/>
    <col min="4" max="4" width="16.5546875" customWidth="1"/>
    <col min="5" max="5" width="20.6640625" customWidth="1"/>
    <col min="6" max="6" width="16.33203125" customWidth="1"/>
    <col min="7" max="7" width="17.88671875" customWidth="1"/>
    <col min="8" max="8" width="18.5546875" customWidth="1"/>
    <col min="9" max="9" width="17.44140625" customWidth="1"/>
    <col min="10" max="10" width="22.88671875" customWidth="1"/>
  </cols>
  <sheetData>
    <row r="1" spans="1:10" ht="26.4" x14ac:dyDescent="0.3">
      <c r="A1" s="5" t="s">
        <v>0</v>
      </c>
      <c r="B1" s="5" t="s">
        <v>42</v>
      </c>
      <c r="C1" s="5" t="s">
        <v>41</v>
      </c>
      <c r="D1" s="6" t="s">
        <v>1</v>
      </c>
      <c r="E1" s="6" t="s">
        <v>2</v>
      </c>
      <c r="F1" s="6" t="s">
        <v>3</v>
      </c>
      <c r="G1" s="6" t="s">
        <v>4</v>
      </c>
      <c r="H1" s="6" t="s">
        <v>5</v>
      </c>
      <c r="I1" s="6" t="s">
        <v>6</v>
      </c>
      <c r="J1" s="7" t="s">
        <v>7</v>
      </c>
    </row>
    <row r="2" spans="1:10" x14ac:dyDescent="0.3">
      <c r="A2" s="10">
        <v>0</v>
      </c>
      <c r="B2" s="10">
        <v>0.5</v>
      </c>
      <c r="C2" s="10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3">
        <f>_xlfn.STDEV.S(Tabla1[[#This Row],[Med. 1 (V)]:[Med. 5 (V)]])</f>
        <v>0</v>
      </c>
    </row>
    <row r="3" spans="1:10" x14ac:dyDescent="0.3">
      <c r="A3" s="10">
        <v>0.5</v>
      </c>
      <c r="B3" s="10">
        <v>5.04</v>
      </c>
      <c r="C3" s="15">
        <v>0.50700000000000001</v>
      </c>
      <c r="D3" s="1">
        <v>0.49</v>
      </c>
      <c r="E3" s="1">
        <v>0.48</v>
      </c>
      <c r="F3" s="1">
        <v>0.51</v>
      </c>
      <c r="G3" s="1">
        <v>0.49</v>
      </c>
      <c r="H3" s="1">
        <v>0.48</v>
      </c>
      <c r="I3" s="1">
        <f>AVERAGE(Tabla1[[#This Row],[Med. 1 (V)]:[Med. 5 (V)]])</f>
        <v>0.49000000000000005</v>
      </c>
      <c r="J3" s="1">
        <f>_xlfn.STDEV.S(Tabla1[[#This Row],[Med. 1 (V)]:[Med. 5 (V)]])</f>
        <v>1.2247448713915901E-2</v>
      </c>
    </row>
    <row r="4" spans="1:10" x14ac:dyDescent="0.3">
      <c r="A4" s="10">
        <v>1</v>
      </c>
      <c r="B4" s="10">
        <v>1.0149999999999999</v>
      </c>
      <c r="C4" s="15">
        <v>1.0189999999999999</v>
      </c>
      <c r="D4" s="2">
        <v>0.99</v>
      </c>
      <c r="E4" s="2">
        <v>1</v>
      </c>
      <c r="F4" s="2">
        <v>1.02</v>
      </c>
      <c r="G4" s="2">
        <v>1</v>
      </c>
      <c r="H4" s="2">
        <v>0.98</v>
      </c>
      <c r="I4" s="1">
        <f>AVERAGE(Tabla1[[#This Row],[Med. 1 (V)]:[Med. 5 (V)]])</f>
        <v>0.998</v>
      </c>
      <c r="J4" s="4">
        <f>_xlfn.STDEV.S(Tabla1[[#This Row],[Med. 1 (V)]:[Med. 5 (V)]])</f>
        <v>1.4832396974191338E-2</v>
      </c>
    </row>
    <row r="5" spans="1:10" x14ac:dyDescent="0.3">
      <c r="A5" s="10">
        <v>1.5</v>
      </c>
      <c r="B5" s="10">
        <v>1.49</v>
      </c>
      <c r="C5" s="10">
        <v>1.522</v>
      </c>
      <c r="D5" s="1">
        <v>1.49</v>
      </c>
      <c r="E5" s="1">
        <v>1.51</v>
      </c>
      <c r="F5" s="1">
        <v>1.47</v>
      </c>
      <c r="G5" s="1">
        <v>1.48</v>
      </c>
      <c r="H5" s="1">
        <v>1.5</v>
      </c>
      <c r="I5" s="1">
        <f>AVERAGE(Tabla1[[#This Row],[Med. 1 (V)]:[Med. 5 (V)]])</f>
        <v>1.4899999999999998</v>
      </c>
      <c r="J5" s="3">
        <f>_xlfn.STDEV.S(Tabla1[[#This Row],[Med. 1 (V)]:[Med. 5 (V)]])</f>
        <v>1.581138830084191E-2</v>
      </c>
    </row>
    <row r="6" spans="1:10" x14ac:dyDescent="0.3">
      <c r="A6" s="10">
        <v>2</v>
      </c>
      <c r="B6" s="10">
        <v>1.99</v>
      </c>
      <c r="C6" s="10">
        <v>2.028</v>
      </c>
      <c r="D6" s="1">
        <v>2.02</v>
      </c>
      <c r="E6" s="1">
        <v>2</v>
      </c>
      <c r="F6" s="1">
        <v>2</v>
      </c>
      <c r="G6" s="1">
        <v>1.99</v>
      </c>
      <c r="H6" s="1">
        <v>2</v>
      </c>
      <c r="I6" s="1">
        <f>AVERAGE(Tabla1[[#This Row],[Med. 1 (V)]:[Med. 5 (V)]])</f>
        <v>2.0019999999999998</v>
      </c>
      <c r="J6" s="3">
        <f>_xlfn.STDEV.S(Tabla1[[#This Row],[Med. 1 (V)]:[Med. 5 (V)]])</f>
        <v>1.0954451150103333E-2</v>
      </c>
    </row>
    <row r="7" spans="1:10" x14ac:dyDescent="0.3">
      <c r="A7" s="10">
        <v>2.5</v>
      </c>
      <c r="B7" s="10">
        <v>2.48</v>
      </c>
      <c r="C7" s="10">
        <v>2.52</v>
      </c>
      <c r="D7" s="1">
        <v>2.4900000000000002</v>
      </c>
      <c r="E7" s="1">
        <v>2.4900000000000002</v>
      </c>
      <c r="F7" s="1">
        <v>2.4900000000000002</v>
      </c>
      <c r="G7" s="1">
        <v>2.5</v>
      </c>
      <c r="H7" s="1">
        <v>2.4900000000000002</v>
      </c>
      <c r="I7" s="1">
        <f>AVERAGE(Tabla1[[#This Row],[Med. 1 (V)]:[Med. 5 (V)]])</f>
        <v>2.492</v>
      </c>
      <c r="J7" s="3">
        <f>_xlfn.STDEV.S(Tabla1[[#This Row],[Med. 1 (V)]:[Med. 5 (V)]])</f>
        <v>4.4721359549994844E-3</v>
      </c>
    </row>
    <row r="8" spans="1:10" x14ac:dyDescent="0.3">
      <c r="A8" s="11">
        <v>3</v>
      </c>
      <c r="B8" s="11">
        <v>2.98</v>
      </c>
      <c r="C8" s="11">
        <v>3.036</v>
      </c>
      <c r="D8" s="8">
        <v>2.98</v>
      </c>
      <c r="E8" s="8">
        <v>2.99</v>
      </c>
      <c r="F8" s="8">
        <v>2.99</v>
      </c>
      <c r="G8" s="8">
        <v>3</v>
      </c>
      <c r="H8" s="8">
        <v>2.98</v>
      </c>
      <c r="I8" s="1">
        <f>AVERAGE(Tabla1[[#This Row],[Med. 1 (V)]:[Med. 5 (V)]])</f>
        <v>2.9880000000000004</v>
      </c>
      <c r="J8" s="9">
        <f>_xlfn.STDEV.S(Tabla1[[#This Row],[Med. 1 (V)]:[Med. 5 (V)]])</f>
        <v>8.3666002653407893E-3</v>
      </c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FC3D5-3459-4326-AFC8-F2BCC89B6A84}">
  <dimension ref="A2:D9"/>
  <sheetViews>
    <sheetView tabSelected="1" zoomScale="96" zoomScaleNormal="96" workbookViewId="0">
      <selection activeCell="A2" sqref="A2:D9"/>
    </sheetView>
  </sheetViews>
  <sheetFormatPr baseColWidth="10" defaultRowHeight="14.4" x14ac:dyDescent="0.3"/>
  <cols>
    <col min="1" max="1" width="14.6640625" style="16" customWidth="1"/>
    <col min="2" max="2" width="18.44140625" style="16" customWidth="1"/>
    <col min="3" max="3" width="19.44140625" style="16" customWidth="1"/>
    <col min="4" max="4" width="14.33203125" style="16" customWidth="1"/>
  </cols>
  <sheetData>
    <row r="2" spans="1:4" x14ac:dyDescent="0.3">
      <c r="A2" s="17" t="s">
        <v>0</v>
      </c>
      <c r="B2" s="18" t="s">
        <v>8</v>
      </c>
      <c r="C2" s="18" t="s">
        <v>9</v>
      </c>
      <c r="D2" s="19" t="s">
        <v>10</v>
      </c>
    </row>
    <row r="3" spans="1:4" x14ac:dyDescent="0.3">
      <c r="A3" s="20">
        <v>0</v>
      </c>
      <c r="B3" s="1">
        <v>0</v>
      </c>
      <c r="C3" s="21">
        <v>0</v>
      </c>
      <c r="D3" s="22">
        <f>Tabla2[[#This Row],[Voltaje Ascenso (V)]]-Tabla2[[#This Row],[Voltaje Descenso (V)]]</f>
        <v>0</v>
      </c>
    </row>
    <row r="4" spans="1:4" x14ac:dyDescent="0.3">
      <c r="A4" s="20">
        <v>0.5</v>
      </c>
      <c r="B4" s="1">
        <v>0.49</v>
      </c>
      <c r="C4" s="21">
        <v>0.48</v>
      </c>
      <c r="D4" s="22">
        <f>Tabla2[[#This Row],[Voltaje Ascenso (V)]]-Tabla2[[#This Row],[Voltaje Descenso (V)]]</f>
        <v>1.0000000000000009E-2</v>
      </c>
    </row>
    <row r="5" spans="1:4" x14ac:dyDescent="0.3">
      <c r="A5" s="20">
        <v>1</v>
      </c>
      <c r="B5" s="2">
        <v>0.99</v>
      </c>
      <c r="C5" s="21">
        <v>1</v>
      </c>
      <c r="D5" s="22">
        <f>Tabla2[[#This Row],[Voltaje Ascenso (V)]]-Tabla2[[#This Row],[Voltaje Descenso (V)]]</f>
        <v>-1.0000000000000009E-2</v>
      </c>
    </row>
    <row r="6" spans="1:4" x14ac:dyDescent="0.3">
      <c r="A6" s="20">
        <v>1.5</v>
      </c>
      <c r="B6" s="1">
        <v>1.49</v>
      </c>
      <c r="C6" s="21">
        <v>1.49</v>
      </c>
      <c r="D6" s="22">
        <f>Tabla2[[#This Row],[Voltaje Ascenso (V)]]-Tabla2[[#This Row],[Voltaje Descenso (V)]]</f>
        <v>0</v>
      </c>
    </row>
    <row r="7" spans="1:4" x14ac:dyDescent="0.3">
      <c r="A7" s="26">
        <v>2</v>
      </c>
      <c r="B7" s="1">
        <v>2.02</v>
      </c>
      <c r="C7" s="27">
        <v>1.98</v>
      </c>
      <c r="D7" s="28">
        <f>Tabla2[[#This Row],[Voltaje Ascenso (V)]]-Tabla2[[#This Row],[Voltaje Descenso (V)]]</f>
        <v>4.0000000000000036E-2</v>
      </c>
    </row>
    <row r="8" spans="1:4" x14ac:dyDescent="0.3">
      <c r="A8" s="23">
        <v>2.5</v>
      </c>
      <c r="B8" s="1">
        <v>2.4900000000000002</v>
      </c>
      <c r="C8" s="24">
        <v>2.48</v>
      </c>
      <c r="D8" s="25">
        <f>Tabla2[[#This Row],[Voltaje Ascenso (V)]]-Tabla2[[#This Row],[Voltaje Descenso (V)]]</f>
        <v>1.0000000000000231E-2</v>
      </c>
    </row>
    <row r="9" spans="1:4" x14ac:dyDescent="0.3">
      <c r="A9" s="23">
        <v>3</v>
      </c>
      <c r="B9" s="8">
        <v>2.98</v>
      </c>
      <c r="C9" s="24">
        <v>2.98</v>
      </c>
      <c r="D9" s="25">
        <f>Tabla2[[#This Row],[Voltaje Ascenso (V)]]-Tabla2[[#This Row],[Voltaje Descenso (V)]]</f>
        <v>0</v>
      </c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E685A-EA8C-499A-BD62-345F0DB3C5FC}">
  <dimension ref="A1:E6"/>
  <sheetViews>
    <sheetView workbookViewId="0">
      <selection activeCell="B3" sqref="B3"/>
    </sheetView>
  </sheetViews>
  <sheetFormatPr baseColWidth="10" defaultRowHeight="14.4" x14ac:dyDescent="0.3"/>
  <cols>
    <col min="1" max="5" width="32.33203125" customWidth="1"/>
  </cols>
  <sheetData>
    <row r="1" spans="1:5" ht="28.2" customHeight="1" x14ac:dyDescent="0.3">
      <c r="A1" s="12" t="s">
        <v>11</v>
      </c>
      <c r="B1" s="12" t="s">
        <v>12</v>
      </c>
      <c r="C1" s="12" t="s">
        <v>13</v>
      </c>
      <c r="D1" s="12" t="s">
        <v>14</v>
      </c>
      <c r="E1" s="12" t="s">
        <v>15</v>
      </c>
    </row>
    <row r="2" spans="1:5" ht="75.599999999999994" customHeight="1" x14ac:dyDescent="0.3">
      <c r="A2" s="13" t="s">
        <v>37</v>
      </c>
      <c r="B2" s="14" t="s">
        <v>16</v>
      </c>
      <c r="C2" s="14" t="s">
        <v>17</v>
      </c>
      <c r="D2" s="14" t="s">
        <v>18</v>
      </c>
      <c r="E2" s="14" t="s">
        <v>19</v>
      </c>
    </row>
    <row r="3" spans="1:5" ht="75.599999999999994" customHeight="1" x14ac:dyDescent="0.3">
      <c r="A3" s="13" t="s">
        <v>38</v>
      </c>
      <c r="B3" s="14" t="s">
        <v>20</v>
      </c>
      <c r="C3" s="14" t="s">
        <v>21</v>
      </c>
      <c r="D3" s="14" t="s">
        <v>22</v>
      </c>
      <c r="E3" s="14" t="s">
        <v>23</v>
      </c>
    </row>
    <row r="4" spans="1:5" ht="75.599999999999994" customHeight="1" x14ac:dyDescent="0.3">
      <c r="A4" s="13" t="s">
        <v>39</v>
      </c>
      <c r="B4" s="14" t="s">
        <v>24</v>
      </c>
      <c r="C4" s="14" t="s">
        <v>25</v>
      </c>
      <c r="D4" s="14" t="s">
        <v>26</v>
      </c>
      <c r="E4" s="14" t="s">
        <v>27</v>
      </c>
    </row>
    <row r="5" spans="1:5" ht="75.599999999999994" customHeight="1" x14ac:dyDescent="0.3">
      <c r="A5" s="13" t="s">
        <v>40</v>
      </c>
      <c r="B5" s="14" t="s">
        <v>28</v>
      </c>
      <c r="C5" s="14" t="s">
        <v>29</v>
      </c>
      <c r="D5" s="14" t="s">
        <v>30</v>
      </c>
      <c r="E5" s="14" t="s">
        <v>31</v>
      </c>
    </row>
    <row r="6" spans="1:5" ht="75.599999999999994" customHeight="1" x14ac:dyDescent="0.3">
      <c r="A6" s="13" t="s">
        <v>32</v>
      </c>
      <c r="B6" s="14" t="s">
        <v>33</v>
      </c>
      <c r="C6" s="14" t="s">
        <v>34</v>
      </c>
      <c r="D6" s="14" t="s">
        <v>35</v>
      </c>
      <c r="E6" s="14" t="s">
        <v>36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Datos_Calibracion</vt:lpstr>
      <vt:lpstr>Datos_Histeresis</vt:lpstr>
      <vt:lpstr>Rubrica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Leonardo Begambre Rodriguez</dc:creator>
  <cp:lastModifiedBy>Jose Francisco Lopez Guerrero</cp:lastModifiedBy>
  <dcterms:created xsi:type="dcterms:W3CDTF">2026-02-17T22:31:29Z</dcterms:created>
  <dcterms:modified xsi:type="dcterms:W3CDTF">2026-03-26T04:12:14Z</dcterms:modified>
</cp:coreProperties>
</file>